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jemasvar 1" sheetId="1" r:id="rId5"/>
    <sheet state="visible" name="Tilstand" sheetId="2" r:id="rId6"/>
    <sheet state="visible" name="script_log" sheetId="3" r:id="rId7"/>
    <sheet state="visible" name="Parametre" sheetId="4" r:id="rId8"/>
    <sheet state="visible" name="Sammendrag" sheetId="5" r:id="rId9"/>
  </sheets>
  <definedNames/>
  <calcPr/>
</workbook>
</file>

<file path=xl/sharedStrings.xml><?xml version="1.0" encoding="utf-8"?>
<sst xmlns="http://schemas.openxmlformats.org/spreadsheetml/2006/main" count="42" uniqueCount="39">
  <si>
    <t>Tidsmerke</t>
  </si>
  <si>
    <t>E-postadresse</t>
  </si>
  <si>
    <t>First Name</t>
  </si>
  <si>
    <t>Last Name</t>
  </si>
  <si>
    <t>Price Category</t>
  </si>
  <si>
    <t>Workshop Level</t>
  </si>
  <si>
    <t>Dance Role</t>
  </si>
  <si>
    <t>Dance Partner</t>
  </si>
  <si>
    <t>timestamp</t>
  </si>
  <si>
    <t>email</t>
  </si>
  <si>
    <t>firstname</t>
  </si>
  <si>
    <t>lastname</t>
  </si>
  <si>
    <t>membership</t>
  </si>
  <si>
    <t>pass</t>
  </si>
  <si>
    <t>role</t>
  </si>
  <si>
    <t>partner</t>
  </si>
  <si>
    <t>price</t>
  </si>
  <si>
    <t>state</t>
  </si>
  <si>
    <t>partnerConfirmed</t>
  </si>
  <si>
    <t>paymentConfirmed</t>
  </si>
  <si>
    <t>cancelled</t>
  </si>
  <si>
    <t>note</t>
  </si>
  <si>
    <t>reevaluate</t>
  </si>
  <si>
    <t>maxImbalance</t>
  </si>
  <si>
    <t>maxParticipants</t>
  </si>
  <si>
    <t>maxParticipantsPerPass</t>
  </si>
  <si>
    <t>LEVEL_1, 25, LEVEL_2, 40, PARTY_1, 15, PARTY_2, 20</t>
  </si>
  <si>
    <t>leaderBias</t>
  </si>
  <si>
    <t>followerBias</t>
  </si>
  <si>
    <t>noBalanceThreshold</t>
  </si>
  <si>
    <t>leader</t>
  </si>
  <si>
    <t>follower</t>
  </si>
  <si>
    <t>both roles</t>
  </si>
  <si>
    <t>level 1</t>
  </si>
  <si>
    <t>level 2</t>
  </si>
  <si>
    <t>party 1</t>
  </si>
  <si>
    <t>-</t>
  </si>
  <si>
    <t>party 2</t>
  </si>
  <si>
    <t>all levels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</si>
</sst>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0"/>
      <name val="Arial"/>
      <scheme val="minor"/>
    </font>
    <font>
      <b/>
      <color rgb="FF38761D"/>
      <name val="Arial"/>
      <scheme val="minor"/>
    </font>
    <font>
      <color rgb="FF38761D"/>
      <name val="Arial"/>
      <scheme val="minor"/>
    </font>
    <font>
      <b/>
      <color rgb="FFB45F06"/>
      <name val="Arial"/>
      <scheme val="minor"/>
    </font>
    <font>
      <color rgb="FFB45F06"/>
      <name val="Arial"/>
      <scheme val="minor"/>
    </font>
    <font>
      <b/>
      <color rgb="FF674EA7"/>
      <name val="Arial"/>
      <scheme val="minor"/>
    </font>
    <font>
      <color rgb="FF674EA7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990000"/>
        <bgColor rgb="FF99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5" numFmtId="0" xfId="0" applyFill="1" applyFont="1"/>
    <xf borderId="0" fillId="5" fontId="5" numFmtId="0" xfId="0" applyFill="1" applyFont="1"/>
    <xf borderId="0" fillId="0" fontId="5" numFmtId="0" xfId="0" applyFont="1"/>
    <xf borderId="0" fillId="0" fontId="6" numFmtId="0" xfId="0" applyAlignment="1" applyFont="1">
      <alignment readingOrder="0"/>
    </xf>
    <xf borderId="0" fillId="4" fontId="7" numFmtId="0" xfId="0" applyFont="1"/>
    <xf borderId="0" fillId="5" fontId="7" numFmtId="0" xfId="0" applyFont="1"/>
    <xf borderId="0" fillId="0" fontId="7" numFmtId="0" xfId="0" applyFont="1"/>
    <xf borderId="0" fillId="0" fontId="8" numFmtId="0" xfId="0" applyAlignment="1" applyFont="1">
      <alignment readingOrder="0"/>
    </xf>
    <xf borderId="0" fillId="4" fontId="9" numFmtId="0" xfId="0" applyAlignment="1" applyFont="1">
      <alignment readingOrder="0"/>
    </xf>
    <xf borderId="0" fillId="5" fontId="9" numFmtId="0" xfId="0" applyAlignment="1" applyFont="1">
      <alignment readingOrder="0"/>
    </xf>
    <xf borderId="0" fillId="0" fontId="9" numFmtId="0" xfId="0" applyAlignment="1" applyFont="1">
      <alignment horizontal="right"/>
    </xf>
    <xf borderId="0" fillId="4" fontId="1" numFmtId="0" xfId="0" applyFont="1"/>
    <xf borderId="0" fillId="5" fontId="1" numFmtId="0" xfId="0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kjemasvar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" displayName="Form_Responses" name="Form_Responses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kjemasvar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4" width="22.0"/>
    <col customWidth="1" min="5" max="5" width="10.88"/>
    <col customWidth="1" min="6" max="6" width="10.38"/>
    <col customWidth="1" min="8" max="8" width="20.0"/>
    <col customWidth="1" min="10" max="10" width="17.88"/>
    <col customWidth="1" min="11" max="11" width="15.13"/>
    <col customWidth="1" min="12" max="12" width="16.13"/>
    <col customWidth="1" min="13" max="13" width="8.63"/>
    <col customWidth="1" min="14" max="14" width="55.13"/>
    <col customWidth="1" min="15" max="15" width="9.25"/>
  </cols>
  <sheetData>
    <row r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43.5"/>
  </cols>
  <sheetData>
    <row r="1">
      <c r="A1" s="5" t="s">
        <v>23</v>
      </c>
      <c r="B1" s="6">
        <v>1.6</v>
      </c>
    </row>
    <row r="2">
      <c r="A2" s="5" t="s">
        <v>24</v>
      </c>
      <c r="B2" s="5">
        <v>90.0</v>
      </c>
    </row>
    <row r="3">
      <c r="A3" s="5" t="s">
        <v>25</v>
      </c>
      <c r="B3" s="5" t="s">
        <v>26</v>
      </c>
    </row>
    <row r="4">
      <c r="A4" s="5" t="s">
        <v>27</v>
      </c>
      <c r="B4" s="5">
        <v>2.0</v>
      </c>
    </row>
    <row r="5">
      <c r="A5" s="5" t="s">
        <v>28</v>
      </c>
      <c r="B5" s="5">
        <v>2.0</v>
      </c>
    </row>
    <row r="6">
      <c r="A6" s="5" t="s">
        <v>29</v>
      </c>
      <c r="B6" s="5">
        <v>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7" t="s">
        <v>30</v>
      </c>
      <c r="C1" s="8" t="s">
        <v>31</v>
      </c>
      <c r="D1" s="3" t="s">
        <v>32</v>
      </c>
    </row>
    <row r="2">
      <c r="A2" s="9" t="s">
        <v>33</v>
      </c>
      <c r="B2" s="10">
        <f>IFERROR(__xludf.DUMMYFUNCTION("COUNTIF(
 ARRAYFORMULA(
   IF(
     (REGEXMATCH(Tilstand!$G:$G,""Leader"")) *
     (NOT(REGEXMATCH(Tilstand!$J:$J,""WAITING_LIST|PARTNER_SIGNUP|CANCELLED""))),
     VALUE(MID(Tilstand!$F:$F, 7, 1)),
     """"
   )
 ),
 1
)"),0.0)</f>
        <v>0</v>
      </c>
      <c r="C2" s="11">
        <f>IFERROR(__xludf.DUMMYFUNCTION("COUNTIF(
 ARRAYFORMULA(
   IF(
     (REGEXMATCH(Tilstand!$G:$G,""Follower"")) *
     (NOT(REGEXMATCH(Tilstand!$J:$J,""WAITING_LIST|PARTNER_SIGNUP|CANCELLED""))),
     VALUE(MID(Tilstand!$F:$F, 7, 1)),
     """"
   )
 ),
 1
)"),0.0)</f>
        <v>0</v>
      </c>
      <c r="D2" s="12">
        <f t="shared" ref="D2:D3" si="1">SUM(B2:C2)</f>
        <v>0</v>
      </c>
    </row>
    <row r="3">
      <c r="A3" s="13" t="s">
        <v>34</v>
      </c>
      <c r="B3" s="14">
        <f>IFERROR(__xludf.DUMMYFUNCTION("COUNTIF(
 ARRAYFORMULA(
   IF(
     (REGEXMATCH(Tilstand!$G:$G,""Leader"")) *
     (NOT(REGEXMATCH(Tilstand!$J:$J,""WAITING_LIST|PARTNER_SIGNUP|CANCELLED""))),
     VALUE(MID(Tilstand!$F:$F, 7, 1)),
     """"
   )
 ),
 2
)"),0.0)</f>
        <v>0</v>
      </c>
      <c r="C3" s="15">
        <f>IFERROR(__xludf.DUMMYFUNCTION("COUNTIF(
 ARRAYFORMULA(
   IF(
     (REGEXMATCH(Tilstand!$G:$G,""Follower"")) *
     (NOT(REGEXMATCH(Tilstand!$J:$J,""WAITING_LIST|PARTNER_SIGNUP|CANCELLED""))),
     VALUE(MID(Tilstand!$F:$F, 7, 1)),
     """"
   )
 ),
 2
)"),0.0)</f>
        <v>0</v>
      </c>
      <c r="D3" s="16">
        <f t="shared" si="1"/>
        <v>0</v>
      </c>
    </row>
    <row r="4">
      <c r="A4" s="17" t="s">
        <v>35</v>
      </c>
      <c r="B4" s="18" t="s">
        <v>36</v>
      </c>
      <c r="C4" s="19" t="s">
        <v>36</v>
      </c>
      <c r="D4" s="20">
        <f>IFERROR(__xludf.DUMMYFUNCTION("COUNTIF(
 ARRAYFORMULA(
   IF(
     (REGEXMATCH(Tilstand!$G:$G,""Party"")) *
     (NOT(REGEXMATCH(Tilstand!$J:$J,""WAITING_LIST|PARTNER_SIGNUP|CANCELLED""))),
     VALUE(MID(Tilstand!$F:$F, 7, 1)),
     """"
   )
 ),
 1
)"),0.0)</f>
        <v>0</v>
      </c>
    </row>
    <row r="5">
      <c r="A5" s="17" t="s">
        <v>37</v>
      </c>
      <c r="B5" s="18" t="s">
        <v>36</v>
      </c>
      <c r="C5" s="19" t="s">
        <v>36</v>
      </c>
      <c r="D5" s="20">
        <f>IFERROR(__xludf.DUMMYFUNCTION("COUNTIF(
 ARRAYFORMULA(
   IF(
     (REGEXMATCH(Tilstand!$G:$G,""Party"")) *
     (NOT(REGEXMATCH(Tilstand!$J:$J,""WAITING_LIST|PARTNER_SIGNUP|CANCELLED""))),
     VALUE(MID(Tilstand!$F:$F, 7, 1)),
     """"
   )
 ),
 2
)"),0.0)</f>
        <v>0</v>
      </c>
    </row>
    <row r="6">
      <c r="A6" s="3" t="s">
        <v>38</v>
      </c>
      <c r="B6" s="21">
        <f t="shared" ref="B6:C6" si="2">SUM(B2:B3)</f>
        <v>0</v>
      </c>
      <c r="C6" s="22">
        <f t="shared" si="2"/>
        <v>0</v>
      </c>
      <c r="D6" s="23">
        <f>SUM(D2:D5)</f>
        <v>0</v>
      </c>
    </row>
  </sheetData>
  <drawing r:id="rId1"/>
</worksheet>
</file>